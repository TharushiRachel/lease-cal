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<sst xmlns="http://schemas.openxmlformats.org/spreadsheetml/2006/main" count="11" uniqueCount="11">
  <si>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R</t>
  </si>
  <si>
    <t>n</t>
  </si>
  <si>
    <t>C</t>
  </si>
  <si>
    <t>upfronts</t>
  </si>
  <si>
    <t>Ins</t>
  </si>
  <si>
    <t>IRR</t>
  </si>
  <si>
    <t>#</t>
  </si>
  <si>
    <t>Capital</t>
  </si>
  <si>
    <t>Interest</t>
  </si>
  <si>
    <t xml:space="preserve">Cap Pmt</t>
  </si>
  <si>
    <t>PV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</si>
</sst>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43" applyNumberFormat="1" applyFont="0" applyFill="0" applyBorder="0"/>
  </cellStyleXfs>
  <cellXfs count="5">
    <xf fontId="0" fillId="0" borderId="0" numFmtId="0" xfId="0"/>
    <xf fontId="0" fillId="0" borderId="0" numFmtId="164" xfId="1" applyNumberFormat="1"/>
    <xf fontId="0" fillId="0" borderId="0" numFmtId="164" xfId="0" applyNumberFormat="1"/>
    <xf fontId="0" fillId="0" borderId="0" numFmtId="164" xfId="1" applyNumberFormat="1"/>
    <xf fontId="0" fillId="0" borderId="0" numFmtId="0" xfId="0">
      <protection hidden="0" locked="1"/>
    </xf>
  </cellXfs>
  <cellStyles count="2">
    <cellStyle name="Normal" xfId="0" builtinId="0"/>
    <cellStyle name="Comm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style="1" width="12.921875"/>
    <col bestFit="1" min="3" max="3" width="11.36328125"/>
    <col bestFit="1" min="4" max="6" width="12.921875"/>
    <col bestFit="1" min="7" max="7" style="1" width="12.921875"/>
  </cols>
  <sheetData>
    <row r="1" ht="14.25">
      <c r="A1" t="s">
        <v>0</v>
      </c>
      <c r="B1" s="1">
        <v>0.12</v>
      </c>
    </row>
    <row r="2" ht="14.25">
      <c r="A2" t="s">
        <v>1</v>
      </c>
      <c r="B2" s="1">
        <v>10</v>
      </c>
    </row>
    <row r="3" ht="14.25">
      <c r="A3" t="s">
        <v>2</v>
      </c>
      <c r="B3" s="1">
        <v>1000000</v>
      </c>
    </row>
    <row r="4" ht="14.25">
      <c r="A4" t="s">
        <v>3</v>
      </c>
      <c r="B4" s="1">
        <v>1</v>
      </c>
      <c r="E4" t="s">
        <v>2</v>
      </c>
      <c r="F4" s="2">
        <f>B3-B4*B5</f>
        <v>823015.83584015595</v>
      </c>
      <c r="G4" s="1">
        <f>F4-G18</f>
        <v>176984.16415984393</v>
      </c>
    </row>
    <row r="5" ht="14.25">
      <c r="A5" t="s">
        <v>4</v>
      </c>
      <c r="B5" s="1">
        <f>B3/((1-(1.12^(-10)))/0.12)</f>
        <v>176984.16415984405</v>
      </c>
      <c r="E5" t="s">
        <v>5</v>
      </c>
      <c r="F5">
        <v>0.24278770679598824</v>
      </c>
      <c r="G5" s="1">
        <f>F5*100</f>
        <v>24.278770679598825</v>
      </c>
    </row>
    <row r="7" ht="14.25">
      <c r="A7" t="s">
        <v>6</v>
      </c>
      <c r="B7" s="3" t="s">
        <v>7</v>
      </c>
      <c r="C7" t="s">
        <v>8</v>
      </c>
      <c r="D7" t="s">
        <v>4</v>
      </c>
      <c r="E7" t="s">
        <v>9</v>
      </c>
      <c r="F7" t="s">
        <v>10</v>
      </c>
    </row>
    <row r="8" ht="14.25">
      <c r="A8">
        <v>1</v>
      </c>
      <c r="B8" s="1">
        <f>B3</f>
        <v>1000000</v>
      </c>
      <c r="C8" s="1">
        <f>B8*$B$1</f>
        <v>120000</v>
      </c>
      <c r="D8" s="2">
        <f>B5</f>
        <v>176984.16415984405</v>
      </c>
      <c r="E8" s="2">
        <f>D8-C8</f>
        <v>56984.164159844047</v>
      </c>
      <c r="F8" s="1">
        <f>D8/(1+$B$1)^A8</f>
        <v>158021.57514271789</v>
      </c>
      <c r="G8" s="1">
        <f>D8/(1+$F$5)^A8</f>
        <v>142409.00774286236</v>
      </c>
    </row>
    <row r="9" ht="14.25">
      <c r="A9">
        <f>A8+1</f>
        <v>2</v>
      </c>
      <c r="B9" s="1">
        <f>B8-E8</f>
        <v>943015.83584015595</v>
      </c>
      <c r="C9" s="1">
        <f>B9*$B$1</f>
        <v>113161.90030081871</v>
      </c>
      <c r="D9" s="2">
        <f>D8</f>
        <v>176984.16415984405</v>
      </c>
      <c r="E9" s="2">
        <f>D9-C9</f>
        <v>63822.263859025334</v>
      </c>
      <c r="F9" s="1">
        <f>D9/(1+$B$1)^A9</f>
        <v>141090.69209171238</v>
      </c>
      <c r="G9" s="1">
        <f>D9/(1+$F$5)^A9</f>
        <v>114588.36208639754</v>
      </c>
      <c r="I9">
        <f>D9/1.12</f>
        <v>158021.57514271789</v>
      </c>
    </row>
    <row r="10" ht="14.25">
      <c r="A10" s="4">
        <f>A9+1</f>
        <v>3</v>
      </c>
      <c r="B10" s="1">
        <f>B9-E9</f>
        <v>879193.57198113063</v>
      </c>
      <c r="C10" s="1">
        <f>B10*$B$1</f>
        <v>105503.22863773566</v>
      </c>
      <c r="D10" s="2">
        <f>D9</f>
        <v>176984.16415984405</v>
      </c>
      <c r="E10" s="2">
        <f>D10-C10</f>
        <v>71480.935522108382</v>
      </c>
      <c r="F10" s="1">
        <f>D10/(1+$B$1)^A10</f>
        <v>125973.83222474319</v>
      </c>
      <c r="G10" s="1">
        <f>D10/(1+$F$5)^A10</f>
        <v>92202.68390151365</v>
      </c>
      <c r="I10" t="e">
        <f>IRR(D8:D17)</f>
        <v>#NUM!</v>
      </c>
    </row>
    <row r="11" ht="14.25">
      <c r="A11" s="4">
        <f>A10+1</f>
        <v>4</v>
      </c>
      <c r="B11" s="1">
        <f>B10-E10</f>
        <v>807712.63645902229</v>
      </c>
      <c r="C11" s="1">
        <f>B11*$B$1</f>
        <v>96925.516375082676</v>
      </c>
      <c r="D11" s="2">
        <f>D10</f>
        <v>176984.16415984405</v>
      </c>
      <c r="E11" s="2">
        <f>D11-C11</f>
        <v>80058.647784761371</v>
      </c>
      <c r="F11" s="1">
        <f>D11/(1+$B$1)^A11</f>
        <v>112476.63591494926</v>
      </c>
      <c r="G11" s="1">
        <f>D11/(1+$F$5)^A11</f>
        <v>74190.212372811424</v>
      </c>
    </row>
    <row r="12" ht="14.25">
      <c r="A12" s="4">
        <f>A11+1</f>
        <v>5</v>
      </c>
      <c r="B12" s="1">
        <f>B11-E11</f>
        <v>727653.98867426091</v>
      </c>
      <c r="C12" s="1">
        <f>B12*$B$1</f>
        <v>87318.4786409113</v>
      </c>
      <c r="D12" s="2">
        <f>D11</f>
        <v>176984.16415984405</v>
      </c>
      <c r="E12" s="2">
        <f>D12-C12</f>
        <v>89665.685518932747</v>
      </c>
      <c r="F12" s="1">
        <f>D12/(1+$B$1)^A12</f>
        <v>100425.56778120469</v>
      </c>
      <c r="G12" s="1">
        <f>D12/(1+$F$5)^A12</f>
        <v>59696.609458810992</v>
      </c>
    </row>
    <row r="13" ht="14.25">
      <c r="A13" s="4">
        <f>A12+1</f>
        <v>6</v>
      </c>
      <c r="B13" s="1">
        <f>B12-E12</f>
        <v>637988.30315532815</v>
      </c>
      <c r="C13" s="1">
        <f>B13*$B$1</f>
        <v>76558.59637863937</v>
      </c>
      <c r="D13" s="2">
        <f>D12</f>
        <v>176984.16415984405</v>
      </c>
      <c r="E13" s="2">
        <f>D13-C13</f>
        <v>100425.56778120468</v>
      </c>
      <c r="F13" s="1">
        <f>D13/(1+$B$1)^A13</f>
        <v>89665.685518932747</v>
      </c>
      <c r="G13" s="1">
        <f>D13/(1+$F$5)^A13</f>
        <v>48034.438329546967</v>
      </c>
    </row>
    <row r="14" ht="14.25">
      <c r="A14" s="4">
        <f>A13+1</f>
        <v>7</v>
      </c>
      <c r="B14" s="1">
        <f>B13-E13</f>
        <v>537562.73537412344</v>
      </c>
      <c r="C14" s="1">
        <f>B14*$B$1</f>
        <v>64507.528244894813</v>
      </c>
      <c r="D14" s="2">
        <f>D13</f>
        <v>176984.16415984405</v>
      </c>
      <c r="E14" s="2">
        <f>D14-C14</f>
        <v>112476.63591494923</v>
      </c>
      <c r="F14" s="1">
        <f>D14/(1+$B$1)^A14</f>
        <v>80058.647784761371</v>
      </c>
      <c r="G14" s="1">
        <f>D14/(1+$F$5)^A14</f>
        <v>38650.557989009889</v>
      </c>
    </row>
    <row r="15" ht="14.25">
      <c r="A15" s="4">
        <f>A14+1</f>
        <v>8</v>
      </c>
      <c r="B15" s="1">
        <f>B14-E14</f>
        <v>425086.09945917421</v>
      </c>
      <c r="C15" s="1">
        <f>B15*$B$1</f>
        <v>51010.331935100905</v>
      </c>
      <c r="D15" s="2">
        <f>D14</f>
        <v>176984.16415984405</v>
      </c>
      <c r="E15" s="2">
        <f>D15-C15</f>
        <v>125973.83222474315</v>
      </c>
      <c r="F15" s="1">
        <f>D15/(1+$B$1)^A15</f>
        <v>71480.935522108368</v>
      </c>
      <c r="G15" s="1">
        <f>D15/(1+$F$5)^A15</f>
        <v>31099.887597580357</v>
      </c>
    </row>
    <row r="16" ht="14.25">
      <c r="A16" s="4">
        <f>A15+1</f>
        <v>9</v>
      </c>
      <c r="B16" s="1">
        <f>B15-E15</f>
        <v>299112.26723443106</v>
      </c>
      <c r="C16" s="1">
        <f>B16*$B$1</f>
        <v>35893.472068131727</v>
      </c>
      <c r="D16" s="2">
        <f>D15</f>
        <v>176984.16415984405</v>
      </c>
      <c r="E16" s="2">
        <f>D16-C16</f>
        <v>141090.69209171232</v>
      </c>
      <c r="F16" s="1">
        <f>D16/(1+$B$1)^A16</f>
        <v>63822.263859025319</v>
      </c>
      <c r="G16" s="1">
        <f>D16/(1+$F$5)^A16</f>
        <v>25024.296126776546</v>
      </c>
    </row>
    <row r="17" ht="14.25">
      <c r="A17" s="4">
        <f>A16+1</f>
        <v>10</v>
      </c>
      <c r="B17" s="1">
        <f>B16-E16</f>
        <v>158021.57514271874</v>
      </c>
      <c r="C17" s="1">
        <f>B17*$B$1</f>
        <v>18962.589017126247</v>
      </c>
      <c r="D17" s="2">
        <f>D16</f>
        <v>176984.16415984405</v>
      </c>
      <c r="E17" s="2">
        <f>D17-C17</f>
        <v>158021.5751427178</v>
      </c>
      <c r="F17" s="1">
        <f>D17/(1+$B$1)^A17</f>
        <v>56984.164159844033</v>
      </c>
      <c r="G17" s="1">
        <f>D17/(1+$F$5)^A17</f>
        <v>20135.616075002301</v>
      </c>
    </row>
    <row r="18" ht="14.25">
      <c r="B18" s="1">
        <f>SUM(B8:B17)</f>
        <v>6415347.0133203454</v>
      </c>
      <c r="C18" s="1">
        <f>SUM(C8:C17)</f>
        <v>769841.64159844141</v>
      </c>
      <c r="D18" s="1">
        <f>SUM(D8:D17)</f>
        <v>1769841.6415984407</v>
      </c>
      <c r="E18" s="1">
        <f>SUM(E8:E17)</f>
        <v>999999.99999999895</v>
      </c>
      <c r="F18" s="1">
        <f>SUM(F8:F17)</f>
        <v>999999.9999999993</v>
      </c>
      <c r="G18" s="1">
        <f>SUM(G8:G17)</f>
        <v>646031.67168031202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2026-01-07T11:26:41Z</dcterms:modified>
</cp:coreProperties>
</file>